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p_plan" sheetId="1" r:id="rId1"/>
    <sheet name="data" sheetId="2" r:id="rId2"/>
    <sheet name="samples" sheetId="3" r:id="rId3"/>
    <sheet name="calibration" sheetId="4" r:id="rId4"/>
  </sheets>
  <calcPr calcId="124519" fullCalcOnLoad="1"/>
</workbook>
</file>

<file path=xl/sharedStrings.xml><?xml version="1.0" encoding="utf-8"?>
<sst xmlns="http://schemas.openxmlformats.org/spreadsheetml/2006/main" count="58" uniqueCount="40">
  <si>
    <t>Std</t>
  </si>
  <si>
    <t>Target_C2_mg_per_L</t>
  </si>
  <si>
    <t>V1_from_10000mgL_mL</t>
  </si>
  <si>
    <t>Top_up_to_50.00_mL_with</t>
  </si>
  <si>
    <t>Blank</t>
  </si>
  <si>
    <t>S1</t>
  </si>
  <si>
    <t>S2</t>
  </si>
  <si>
    <t>S3</t>
  </si>
  <si>
    <t>S4</t>
  </si>
  <si>
    <t>S5</t>
  </si>
  <si>
    <t>S6</t>
  </si>
  <si>
    <t>S7</t>
  </si>
  <si>
    <t>Solvent</t>
  </si>
  <si>
    <t>Standard_ID</t>
  </si>
  <si>
    <t>Concentration_mgL</t>
  </si>
  <si>
    <t>Area</t>
  </si>
  <si>
    <t>IS_Area</t>
  </si>
  <si>
    <t>Area_Ratio (Area/IS_Area)</t>
  </si>
  <si>
    <t>Sample_ID</t>
  </si>
  <si>
    <t>Conc_from_Area_mgL</t>
  </si>
  <si>
    <t>Conc_from_Ratio_mgL</t>
  </si>
  <si>
    <t>Primary stock (10,000 mg/L): weigh 1.0000 g nonanoic acid, dilute to 100.00 mL with ethanol/methanol.</t>
  </si>
  <si>
    <t>Prepare standards to 50.00 mL. Use the volumes above from the 10,000 mg/L stock (monotonic V1).</t>
  </si>
  <si>
    <t>Enter peak Areas on 'data'. If using an internal standard (IS), enter IS_Area; Area_Ratio will auto-calc.</t>
  </si>
  <si>
    <t>Calibration sheet computes slope, intercept, and R^2 for Area and Area_Ratio models.</t>
  </si>
  <si>
    <t>Paste sample Areas on 'samples' to get concentrations by both models.</t>
  </si>
  <si>
    <t>Calibration (Automatic)</t>
  </si>
  <si>
    <t>Range used from 'data' (edit if you add/remove points)</t>
  </si>
  <si>
    <t>X (Concentration_mgL)</t>
  </si>
  <si>
    <t>data!B2:B9</t>
  </si>
  <si>
    <t>Y_Area</t>
  </si>
  <si>
    <t>data!C2:C9</t>
  </si>
  <si>
    <t>Y_Area_Ratio</t>
  </si>
  <si>
    <t>data!E2:E9</t>
  </si>
  <si>
    <t>Model</t>
  </si>
  <si>
    <t>Slope (m)</t>
  </si>
  <si>
    <t>Intercept (b)</t>
  </si>
  <si>
    <t>R^2</t>
  </si>
  <si>
    <t>Area vs Conc</t>
  </si>
  <si>
    <t>Area_Ratio vs Conc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</si>
</sst>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Calibration: Area vs Concentration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Area vs Conc</c:v>
          </c:tx>
          <c:spPr>
            <a:ln w="28575">
              <a:noFill/>
            </a:ln>
          </c:spPr>
          <c:marker>
            <c:symbol val="circle"/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data!$B$2:$B$9</c:f>
              <c:numCache>
                <c:formatCode>General</c:formatCode>
                <c:ptCount val="8"/>
                <c:pt idx="0">
                  <c:v>0</c:v>
                </c:pt>
                <c:pt idx="1">
                  <c:v>50</c:v>
                </c:pt>
                <c:pt idx="2">
                  <c:v>150</c:v>
                </c:pt>
                <c:pt idx="3">
                  <c:v>300</c:v>
                </c:pt>
                <c:pt idx="4">
                  <c:v>500</c:v>
                </c:pt>
                <c:pt idx="5">
                  <c:v>700</c:v>
                </c:pt>
                <c:pt idx="6">
                  <c:v>900</c:v>
                </c:pt>
                <c:pt idx="7">
                  <c:v>1100</c:v>
                </c:pt>
              </c:numCache>
            </c:numRef>
          </c:xVal>
          <c:yVal>
            <c:numRef>
              <c:f>data!$C$2:$C$9</c:f>
              <c:numCache>
                <c:formatCode>General</c:formatCode>
                <c:ptCount val="8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Concentration (mg/L)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Area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9</xdr:col>
      <xdr:colOff>457200</xdr:colOff>
      <xdr:row>25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 t="s">
        <v>12</v>
      </c>
    </row>
    <row r="3" spans="1:4">
      <c r="A3" t="s">
        <v>5</v>
      </c>
      <c r="B3">
        <v>50</v>
      </c>
      <c r="C3">
        <v>0.25</v>
      </c>
      <c r="D3" t="s">
        <v>12</v>
      </c>
    </row>
    <row r="4" spans="1:4">
      <c r="A4" t="s">
        <v>6</v>
      </c>
      <c r="B4">
        <v>150</v>
      </c>
      <c r="C4">
        <v>0.75</v>
      </c>
      <c r="D4" t="s">
        <v>12</v>
      </c>
    </row>
    <row r="5" spans="1:4">
      <c r="A5" t="s">
        <v>7</v>
      </c>
      <c r="B5">
        <v>300</v>
      </c>
      <c r="C5">
        <v>1.5</v>
      </c>
      <c r="D5" t="s">
        <v>12</v>
      </c>
    </row>
    <row r="6" spans="1:4">
      <c r="A6" t="s">
        <v>8</v>
      </c>
      <c r="B6">
        <v>500</v>
      </c>
      <c r="C6">
        <v>2.5</v>
      </c>
      <c r="D6" t="s">
        <v>12</v>
      </c>
    </row>
    <row r="7" spans="1:4">
      <c r="A7" t="s">
        <v>9</v>
      </c>
      <c r="B7">
        <v>700</v>
      </c>
      <c r="C7">
        <v>3.5</v>
      </c>
      <c r="D7" t="s">
        <v>12</v>
      </c>
    </row>
    <row r="8" spans="1:4">
      <c r="A8" t="s">
        <v>10</v>
      </c>
      <c r="B8">
        <v>900</v>
      </c>
      <c r="C8">
        <v>4.5</v>
      </c>
      <c r="D8" t="s">
        <v>12</v>
      </c>
    </row>
    <row r="9" spans="1:4">
      <c r="A9" t="s">
        <v>11</v>
      </c>
      <c r="B9">
        <v>1100</v>
      </c>
      <c r="C9">
        <v>5.5</v>
      </c>
      <c r="D9" t="s">
        <v>12</v>
      </c>
    </row>
    <row r="11" spans="1:4">
      <c r="A11" t="s">
        <v>21</v>
      </c>
    </row>
    <row r="12" spans="1:4">
      <c r="A12" t="s">
        <v>22</v>
      </c>
    </row>
    <row r="13" spans="1:4">
      <c r="A13" t="s">
        <v>23</v>
      </c>
    </row>
    <row r="14" spans="1:4">
      <c r="A14" t="s">
        <v>24</v>
      </c>
    </row>
    <row r="15" spans="1:4">
      <c r="A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4</v>
      </c>
      <c r="B2">
        <v>0</v>
      </c>
      <c r="E2">
        <f>IFERROR(C2/D2,"")</f>
        <v>0</v>
      </c>
    </row>
    <row r="3" spans="1:5">
      <c r="A3" t="s">
        <v>5</v>
      </c>
      <c r="B3">
        <v>50</v>
      </c>
      <c r="E3">
        <f>IFERROR(C3/D3,"")</f>
        <v>0</v>
      </c>
    </row>
    <row r="4" spans="1:5">
      <c r="A4" t="s">
        <v>6</v>
      </c>
      <c r="B4">
        <v>150</v>
      </c>
      <c r="E4">
        <f>IFERROR(C4/D4,"")</f>
        <v>0</v>
      </c>
    </row>
    <row r="5" spans="1:5">
      <c r="A5" t="s">
        <v>7</v>
      </c>
      <c r="B5">
        <v>300</v>
      </c>
      <c r="E5">
        <f>IFERROR(C5/D5,"")</f>
        <v>0</v>
      </c>
    </row>
    <row r="6" spans="1:5">
      <c r="A6" t="s">
        <v>8</v>
      </c>
      <c r="B6">
        <v>500</v>
      </c>
      <c r="E6">
        <f>IFERROR(C6/D6,"")</f>
        <v>0</v>
      </c>
    </row>
    <row r="7" spans="1:5">
      <c r="A7" t="s">
        <v>9</v>
      </c>
      <c r="B7">
        <v>700</v>
      </c>
      <c r="E7">
        <f>IFERROR(C7/D7,"")</f>
        <v>0</v>
      </c>
    </row>
    <row r="8" spans="1:5">
      <c r="A8" t="s">
        <v>10</v>
      </c>
      <c r="B8">
        <v>900</v>
      </c>
      <c r="E8">
        <f>IFERROR(C8/D8,"")</f>
        <v>0</v>
      </c>
    </row>
    <row r="9" spans="1:5">
      <c r="A9" t="s">
        <v>11</v>
      </c>
      <c r="B9">
        <v>1100</v>
      </c>
      <c r="E9">
        <f>IFERROR(C9/D9,"")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18</v>
      </c>
      <c r="B1" s="1" t="s">
        <v>15</v>
      </c>
      <c r="C1" s="1" t="s">
        <v>16</v>
      </c>
      <c r="D1" s="1" t="s">
        <v>17</v>
      </c>
      <c r="E1" s="1" t="s">
        <v>19</v>
      </c>
      <c r="F1" s="1" t="s">
        <v>20</v>
      </c>
    </row>
    <row r="2" spans="1:6">
      <c r="D2">
        <f>IFERROR(B2/C2,"")</f>
        <v>0</v>
      </c>
      <c r="E2">
        <f>IFERROR((B2-calibration!$F$4)/calibration!$E$4,"")</f>
        <v>0</v>
      </c>
      <c r="F2">
        <f>IFERROR((D2-calibration!$F$5)/calibration!$E$5,"")</f>
        <v>0</v>
      </c>
    </row>
    <row r="3" spans="1:6">
      <c r="D3">
        <f>IFERROR(B3/C3,"")</f>
        <v>0</v>
      </c>
      <c r="E3">
        <f>IFERROR((B3-calibration!$F$4)/calibration!$E$4,"")</f>
        <v>0</v>
      </c>
      <c r="F3">
        <f>IFERROR((D3-calibration!$F$5)/calibration!$E$5,"")</f>
        <v>0</v>
      </c>
    </row>
    <row r="4" spans="1:6">
      <c r="D4">
        <f>IFERROR(B4/C4,"")</f>
        <v>0</v>
      </c>
      <c r="E4">
        <f>IFERROR((B4-calibration!$F$4)/calibration!$E$4,"")</f>
        <v>0</v>
      </c>
      <c r="F4">
        <f>IFERROR((D4-calibration!$F$5)/calibration!$E$5,"")</f>
        <v>0</v>
      </c>
    </row>
    <row r="5" spans="1:6">
      <c r="D5">
        <f>IFERROR(B5/C5,"")</f>
        <v>0</v>
      </c>
      <c r="E5">
        <f>IFERROR((B5-calibration!$F$4)/calibration!$E$4,"")</f>
        <v>0</v>
      </c>
      <c r="F5">
        <f>IFERROR((D5-calibration!$F$5)/calibration!$E$5,"")</f>
        <v>0</v>
      </c>
    </row>
    <row r="6" spans="1:6">
      <c r="D6">
        <f>IFERROR(B6/C6,"")</f>
        <v>0</v>
      </c>
      <c r="E6">
        <f>IFERROR((B6-calibration!$F$4)/calibration!$E$4,"")</f>
        <v>0</v>
      </c>
      <c r="F6">
        <f>IFERROR((D6-calibration!$F$5)/calibration!$E$5,"")</f>
        <v>0</v>
      </c>
    </row>
    <row r="7" spans="1:6">
      <c r="D7">
        <f>IFERROR(B7/C7,"")</f>
        <v>0</v>
      </c>
      <c r="E7">
        <f>IFERROR((B7-calibration!$F$4)/calibration!$E$4,"")</f>
        <v>0</v>
      </c>
      <c r="F7">
        <f>IFERROR((D7-calibration!$F$5)/calibration!$E$5,"")</f>
        <v>0</v>
      </c>
    </row>
    <row r="8" spans="1:6">
      <c r="D8">
        <f>IFERROR(B8/C8,"")</f>
        <v>0</v>
      </c>
      <c r="E8">
        <f>IFERROR((B8-calibration!$F$4)/calibration!$E$4,"")</f>
        <v>0</v>
      </c>
      <c r="F8">
        <f>IFERROR((D8-calibration!$F$5)/calibration!$E$5,"")</f>
        <v>0</v>
      </c>
    </row>
    <row r="9" spans="1:6">
      <c r="D9">
        <f>IFERROR(B9/C9,"")</f>
        <v>0</v>
      </c>
      <c r="E9">
        <f>IFERROR((B9-calibration!$F$4)/calibration!$E$4,"")</f>
        <v>0</v>
      </c>
      <c r="F9">
        <f>IFERROR((D9-calibration!$F$5)/calibration!$E$5,"")</f>
        <v>0</v>
      </c>
    </row>
    <row r="10" spans="1:6">
      <c r="D10">
        <f>IFERROR(B10/C10,"")</f>
        <v>0</v>
      </c>
      <c r="E10">
        <f>IFERROR((B10-calibration!$F$4)/calibration!$E$4,"")</f>
        <v>0</v>
      </c>
      <c r="F10">
        <f>IFERROR((D10-calibration!$F$5)/calibration!$E$5,"")</f>
        <v>0</v>
      </c>
    </row>
    <row r="11" spans="1:6">
      <c r="D11">
        <f>IFERROR(B11/C11,"")</f>
        <v>0</v>
      </c>
      <c r="E11">
        <f>IFERROR((B11-calibration!$F$4)/calibration!$E$4,"")</f>
        <v>0</v>
      </c>
      <c r="F11">
        <f>IFERROR((D11-calibration!$F$5)/calibration!$E$5,"")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26</v>
      </c>
    </row>
    <row r="3" spans="1:7">
      <c r="A3" t="s">
        <v>27</v>
      </c>
      <c r="D3" t="s">
        <v>34</v>
      </c>
      <c r="E3" t="s">
        <v>35</v>
      </c>
      <c r="F3" t="s">
        <v>36</v>
      </c>
      <c r="G3" t="s">
        <v>37</v>
      </c>
    </row>
    <row r="4" spans="1:7">
      <c r="A4" t="s">
        <v>28</v>
      </c>
      <c r="B4" t="s">
        <v>29</v>
      </c>
      <c r="D4" t="s">
        <v>38</v>
      </c>
      <c r="E4">
        <f>SLOPE(data!C2:C9, data!B2:B9)</f>
        <v>0</v>
      </c>
      <c r="F4">
        <f>INTERCEPT(data!C2:C9, data!B2:B9)</f>
        <v>0</v>
      </c>
      <c r="G4">
        <f>RSQ(data!C2:C9, data!B2:B9)</f>
        <v>0</v>
      </c>
    </row>
    <row r="5" spans="1:7">
      <c r="A5" t="s">
        <v>30</v>
      </c>
      <c r="B5" t="s">
        <v>31</v>
      </c>
      <c r="D5" t="s">
        <v>39</v>
      </c>
      <c r="E5">
        <f>SLOPE(data!E2:E9, data!B2:B9)</f>
        <v>0</v>
      </c>
      <c r="F5">
        <f>INTERCEPT(data!E2:E9, data!B2:B9)</f>
        <v>0</v>
      </c>
      <c r="G5">
        <f>RSQ(data!E2:E9, data!B2:B9)</f>
        <v>0</v>
      </c>
    </row>
    <row r="6" spans="1:7">
      <c r="A6" t="s">
        <v>32</v>
      </c>
      <c r="B6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prep_plan</vt:lpstr>
      <vt:lpstr>data</vt:lpstr>
      <vt:lpstr>samples</vt:lpstr>
      <vt:lpstr>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2025-09-21T11:56:47Z</dcterms:created>
  <dcterms:modified xsi:type="dcterms:W3CDTF">2025-09-21T11:56:47Z</dcterms:modified>
</cp:coreProperties>
</file>